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" sheetId="1" r:id="rId4"/>
    <sheet state="visible" name="Bitácora" sheetId="2" r:id="rId5"/>
    <sheet state="visible" name="Referencia Técnica" sheetId="3" r:id="rId6"/>
  </sheets>
  <definedNames/>
  <calcPr/>
</workbook>
</file>

<file path=xl/sharedStrings.xml><?xml version="1.0" encoding="utf-8"?>
<sst xmlns="http://schemas.openxmlformats.org/spreadsheetml/2006/main" count="94" uniqueCount="87">
  <si>
    <t>KNINORD ANIMAL TRAINING — Estimación de Peso Vivo</t>
  </si>
  <si>
    <t>Villa Soñador, Bonao, Rep. Dom. · Sistema CPA · v2.0 · 2026</t>
  </si>
  <si>
    <t>Ingrese los valores en las celdas AZULES. Los resultados se calculan automáticamente. Use la pestaña 'Bitácora' para registrar múltiples animales.</t>
  </si>
  <si>
    <t>DATOS DE ENTRADA</t>
  </si>
  <si>
    <t>Especie</t>
  </si>
  <si>
    <t>Fórmula</t>
  </si>
  <si>
    <t>Precisión</t>
  </si>
  <si>
    <t>Cerdo</t>
  </si>
  <si>
    <t>Cerdo / Caprino / Caballo / Perro</t>
  </si>
  <si>
    <t>(CT² × LC) / 10 838</t>
  </si>
  <si>
    <t>±5–8 %</t>
  </si>
  <si>
    <t>ID / Nombre</t>
  </si>
  <si>
    <t xml:space="preserve">Bonnie </t>
  </si>
  <si>
    <t>Código o nombre del animal</t>
  </si>
  <si>
    <t>Caprino</t>
  </si>
  <si>
    <t>(PT² × LC) / 9 700</t>
  </si>
  <si>
    <t>PT / CT (cm)</t>
  </si>
  <si>
    <t>cm</t>
  </si>
  <si>
    <t>Perímetro torácico – triple medición → media</t>
  </si>
  <si>
    <t>Caballo</t>
  </si>
  <si>
    <t>(PT² × LL) / 11 877</t>
  </si>
  <si>
    <t>±3–6 %</t>
  </si>
  <si>
    <t>LC / LL (cm)</t>
  </si>
  <si>
    <t>Longitud corporal o de lomo</t>
  </si>
  <si>
    <t>Perro</t>
  </si>
  <si>
    <t>(PT² × LL) / k  (10/11/12 k)</t>
  </si>
  <si>
    <t>±8–12 %</t>
  </si>
  <si>
    <t>Constante k</t>
  </si>
  <si>
    <t>Perros: 10000 · 11000 · 12000 (ignore si no es perro)</t>
  </si>
  <si>
    <t>k perro: 10000=musculoso · 11000=estándar · 12000=delgado</t>
  </si>
  <si>
    <t>RESULTADO CALCULADO</t>
  </si>
  <si>
    <t>Peso Estimado (kg)</t>
  </si>
  <si>
    <t>Precisión: ±5-8 % (cerdo/caprino/caballo) · ±8-12 % (perro)</t>
  </si>
  <si>
    <t>Fórmula aplicada</t>
  </si>
  <si>
    <t>CONDICIÓN CORPORAL (CC 1–5)</t>
  </si>
  <si>
    <t>Caquéctico</t>
  </si>
  <si>
    <t>Intervención nutricional inmediata</t>
  </si>
  <si>
    <t>Delgado</t>
  </si>
  <si>
    <t>Aumentar aporte calórico-proteico; reevaluar en 15 días</t>
  </si>
  <si>
    <t>Óptimo ✔</t>
  </si>
  <si>
    <t>Mantener régimen actual</t>
  </si>
  <si>
    <t>Sobrepeso</t>
  </si>
  <si>
    <t>Reducir concentrado; aumentar ejercicio</t>
  </si>
  <si>
    <t>Obeso</t>
  </si>
  <si>
    <t>Programa de reducción supervisado + chequeo metabólico</t>
  </si>
  <si>
    <t>KNINORD — Bitácora de Estimación de Peso Vivo</t>
  </si>
  <si>
    <t>Ingrese medidas en celdas AZULES · El peso se calcula automáticamente</t>
  </si>
  <si>
    <t>Fecha</t>
  </si>
  <si>
    <t>ID/Nombre</t>
  </si>
  <si>
    <t>PT/CT
(cm)</t>
  </si>
  <si>
    <t>LC/LL
(cm)</t>
  </si>
  <si>
    <t>k
(perros)</t>
  </si>
  <si>
    <t>Peso Est.
(kg)</t>
  </si>
  <si>
    <t>CC
(1–5)</t>
  </si>
  <si>
    <t>Observaciones</t>
  </si>
  <si>
    <t>23-04-2026</t>
  </si>
  <si>
    <t>Promedio de peso estimado →</t>
  </si>
  <si>
    <t>Referencia Técnica — Puntos de Medición y Escala CC</t>
  </si>
  <si>
    <t>PUNTOS DE MEDICIÓN ANATÓMICA</t>
  </si>
  <si>
    <t>PT / CT — Perímetro Torácico</t>
  </si>
  <si>
    <t>Cinta perpendicular al eje longitudinal, posterior a la región escapular. Animal en estación, leer en espiración normal.</t>
  </si>
  <si>
    <t>LC — Longitud Corporal</t>
  </si>
  <si>
    <t>Desde la punta del encuentro (articulación escapulo-humeral) hasta la punta de la nalga (tuberosidad isquiática).</t>
  </si>
  <si>
    <t>LL — Longitud de Lomo (équidos)</t>
  </si>
  <si>
    <t>Desde la articulación atlanto-occipital hasta la base de la cola. Caballo en reposo sobre línea dorsal.</t>
  </si>
  <si>
    <t>PROTOCOLO CAMPO</t>
  </si>
  <si>
    <t>1. Posición</t>
  </si>
  <si>
    <t>Animal en estación, cuatro miembros perpendiculares, cabeza natural.</t>
  </si>
  <si>
    <t>2. Instrumento</t>
  </si>
  <si>
    <t>Cinta métrica flexible inextensible, graduada en mm.</t>
  </si>
  <si>
    <t>3. Triple repetición</t>
  </si>
  <si>
    <t>Tres medidas consecutivas → media aritmética. Descartar si dispersión &gt; 1 cm.</t>
  </si>
  <si>
    <t>4. Horario fijo</t>
  </si>
  <si>
    <t>Siempre a la misma hora, preferiblemente pre-ingesta matutina.</t>
  </si>
  <si>
    <t>5. CC complementaria</t>
  </si>
  <si>
    <t>Palpar costillas, apófisis espinosas y tuberosidades.</t>
  </si>
  <si>
    <t>6. Registro inmediato</t>
  </si>
  <si>
    <t>Anotar en el momento. No completar de memoria.</t>
  </si>
  <si>
    <t>LIMITACIONES</t>
  </si>
  <si>
    <t>Gestación</t>
  </si>
  <si>
    <t>El resultado incluye el peso fetal; no refleja CC de la hembra.</t>
  </si>
  <si>
    <t>Razas perro</t>
  </si>
  <si>
    <t>Varianza ±8-12 %. Calibrar k con al menos 5 pesadas reales.</t>
  </si>
  <si>
    <t>Hidratación</t>
  </si>
  <si>
    <t>El PT varía hasta 2-3 cm según estado. Medir siempre igual momento.</t>
  </si>
  <si>
    <t>Validación</t>
  </si>
  <si>
    <t>Comparar con báscula cada 60 días y ajustar denominador si hay sesgo.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</si>
</sst>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&quot; kg&quot;"/>
    <numFmt numFmtId="165" formatCode="0.0"/>
    <numFmt numFmtId="166" formatCode="yyyy\-mm\-dd"/>
  </numFmts>
  <fonts count="22">
    <font>
      <sz val="11.0"/>
      <color/>
      <name val="Arial"/>
      <scheme val="minor"/>
    </font>
    <font>
      <b/>
      <sz val="13.0"/>
      <color rgb="FFFFFFFF"/>
      <name val="Arial"/>
    </font>
    <font/>
    <font>
      <i/>
      <sz val="9.0"/>
      <color rgb="FFD8F3DC"/>
      <name val="Arial"/>
    </font>
    <font>
      <i/>
      <sz val="8.0"/>
      <color rgb="FF2C3E50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rgb="FF2C3E50"/>
      <name val="Arial"/>
    </font>
    <font>
      <b/>
      <sz val="10.0"/>
      <color rgb="FF0000FF"/>
      <name val="Arial"/>
    </font>
    <font>
      <sz val="10.0"/>
      <color rgb="FF2C3E50"/>
      <name val="Arial"/>
    </font>
    <font>
      <sz val="10.0"/>
      <color rgb="FF555555"/>
      <name val="Arial"/>
    </font>
    <font>
      <sz val="10.0"/>
      <color rgb="FF1B4332"/>
      <name val="Arial"/>
    </font>
    <font>
      <b/>
      <sz val="14.0"/>
      <color rgb="FFFFFFFF"/>
      <name val="Arial"/>
    </font>
    <font>
      <i/>
      <sz val="8.0"/>
      <color rgb="FF555555"/>
      <name val="Arial"/>
    </font>
    <font>
      <i/>
      <sz val="10.0"/>
      <color rgb="FF1B4332"/>
      <name val="Arial"/>
    </font>
    <font>
      <b/>
      <sz val="12.0"/>
      <color rgb="FFFFFFFF"/>
      <name val="Arial"/>
    </font>
    <font>
      <sz val="10.0"/>
      <color rgb="FF0000FF"/>
      <name val="Arial"/>
    </font>
    <font>
      <sz val="9.0"/>
      <color rgb="FF0000FF"/>
      <name val="Arial"/>
    </font>
    <font>
      <b/>
      <sz val="10.0"/>
      <color rgb="FF1B4332"/>
      <name val="Arial"/>
    </font>
    <font>
      <sz val="9.0"/>
      <color rgb="FF000000"/>
      <name val="Arial"/>
    </font>
    <font>
      <b/>
      <sz val="9.0"/>
      <color rgb="FF1B4332"/>
      <name val="Arial"/>
    </font>
    <font>
      <sz val="9.0"/>
      <color rgb="FF2C3E5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B4332"/>
        <bgColor rgb="FF1B4332"/>
      </patternFill>
    </fill>
    <fill>
      <patternFill patternType="solid">
        <fgColor rgb="FF2D6A4F"/>
        <bgColor rgb="FF2D6A4F"/>
      </patternFill>
    </fill>
    <fill>
      <patternFill patternType="solid">
        <fgColor rgb="FFFFF9C4"/>
        <bgColor rgb="FFFFF9C4"/>
      </patternFill>
    </fill>
    <fill>
      <patternFill patternType="solid">
        <fgColor rgb="FFF4F6F7"/>
        <bgColor rgb="FFF4F6F7"/>
      </patternFill>
    </fill>
    <fill>
      <patternFill patternType="solid">
        <fgColor rgb="FFD8F3DC"/>
        <bgColor rgb="FFD8F3DC"/>
      </patternFill>
    </fill>
    <fill>
      <patternFill patternType="solid">
        <fgColor rgb="FFFFFFFF"/>
        <bgColor rgb="FFFFFFFF"/>
      </patternFill>
    </fill>
    <fill>
      <patternFill patternType="solid">
        <fgColor rgb="FF52B788"/>
        <bgColor rgb="FF52B788"/>
      </patternFill>
    </fill>
    <fill>
      <patternFill patternType="solid">
        <fgColor rgb="FFFFEBEE"/>
        <bgColor rgb="FFFFEBEE"/>
      </patternFill>
    </fill>
  </fills>
  <borders count="11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/>
      <top style="thin">
        <color rgb="FFFFFFFF"/>
      </top>
      <bottom style="thin">
        <color rgb="FFFFFFF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52B788"/>
      </left>
      <top style="thin">
        <color rgb="FF52B788"/>
      </top>
      <bottom style="thin">
        <color rgb="FF52B788"/>
      </bottom>
    </border>
    <border>
      <top style="thin">
        <color rgb="FF52B788"/>
      </top>
      <bottom style="thin">
        <color rgb="FF52B788"/>
      </bottom>
    </border>
    <border>
      <right/>
      <top style="thin">
        <color rgb="FF52B788"/>
      </top>
      <bottom style="thin">
        <color rgb="FF52B788"/>
      </bottom>
    </border>
    <border>
      <left style="thin">
        <color rgb="FF52B788"/>
      </left>
      <right style="thin">
        <color rgb="FF52B788"/>
      </right>
      <top style="thin">
        <color rgb="FF52B788"/>
      </top>
      <bottom style="thin">
        <color rgb="FF52B788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left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6" numFmtId="0" xfId="0" applyAlignment="1" applyBorder="1" applyFont="1">
      <alignment horizontal="center" shrinkToFit="0" vertical="center" wrapText="1"/>
    </xf>
    <xf borderId="10" fillId="5" fontId="7" numFmtId="0" xfId="0" applyAlignment="1" applyBorder="1" applyFill="1" applyFont="1">
      <alignment horizontal="left" shrinkToFit="0" vertical="center" wrapText="0"/>
    </xf>
    <xf borderId="10" fillId="4" fontId="8" numFmtId="0" xfId="0" applyAlignment="1" applyBorder="1" applyFont="1">
      <alignment horizontal="center" readingOrder="0" shrinkToFit="0" vertical="center" wrapText="0"/>
    </xf>
    <xf borderId="10" fillId="5" fontId="9" numFmtId="0" xfId="0" applyAlignment="1" applyBorder="1" applyFont="1">
      <alignment horizontal="center" shrinkToFit="0" vertical="center" wrapText="0"/>
    </xf>
    <xf borderId="10" fillId="5" fontId="10" numFmtId="0" xfId="0" applyAlignment="1" applyBorder="1" applyFont="1">
      <alignment horizontal="left" shrinkToFit="0" vertical="center" wrapText="1"/>
    </xf>
    <xf borderId="10" fillId="6" fontId="7" numFmtId="0" xfId="0" applyAlignment="1" applyBorder="1" applyFill="1" applyFont="1">
      <alignment horizontal="left" shrinkToFit="0" vertical="center" wrapText="0"/>
    </xf>
    <xf borderId="10" fillId="6" fontId="11" numFmtId="0" xfId="0" applyAlignment="1" applyBorder="1" applyFont="1">
      <alignment horizontal="left" shrinkToFit="0" vertical="center" wrapText="0"/>
    </xf>
    <xf borderId="10" fillId="6" fontId="9" numFmtId="0" xfId="0" applyAlignment="1" applyBorder="1" applyFont="1">
      <alignment horizontal="center" shrinkToFit="0" vertical="center" wrapText="0"/>
    </xf>
    <xf borderId="10" fillId="7" fontId="7" numFmtId="0" xfId="0" applyAlignment="1" applyBorder="1" applyFill="1" applyFont="1">
      <alignment horizontal="left" shrinkToFit="0" vertical="center" wrapText="0"/>
    </xf>
    <xf borderId="10" fillId="7" fontId="9" numFmtId="0" xfId="0" applyAlignment="1" applyBorder="1" applyFont="1">
      <alignment horizontal="center" shrinkToFit="0" vertical="center" wrapText="0"/>
    </xf>
    <xf borderId="10" fillId="7" fontId="10" numFmtId="0" xfId="0" applyAlignment="1" applyBorder="1" applyFont="1">
      <alignment horizontal="left" shrinkToFit="0" vertical="center" wrapText="1"/>
    </xf>
    <xf borderId="10" fillId="7" fontId="11" numFmtId="0" xfId="0" applyAlignment="1" applyBorder="1" applyFont="1">
      <alignment horizontal="left" shrinkToFit="0" vertical="center" wrapText="0"/>
    </xf>
    <xf borderId="10" fillId="4" fontId="8" numFmtId="0" xfId="0" applyAlignment="1" applyBorder="1" applyFont="1">
      <alignment horizontal="center" shrinkToFit="0" vertical="center" wrapText="0"/>
    </xf>
    <xf borderId="7" fillId="4" fontId="4" numFmtId="0" xfId="0" applyAlignment="1" applyBorder="1" applyFont="1">
      <alignment horizontal="left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10" fillId="8" fontId="5" numFmtId="0" xfId="0" applyAlignment="1" applyBorder="1" applyFill="1" applyFont="1">
      <alignment horizontal="left" shrinkToFit="0" vertical="center" wrapText="0"/>
    </xf>
    <xf borderId="10" fillId="2" fontId="12" numFmtId="164" xfId="0" applyAlignment="1" applyBorder="1" applyFont="1" applyNumberFormat="1">
      <alignment horizontal="center" shrinkToFit="0" vertical="center" wrapText="0"/>
    </xf>
    <xf borderId="7" fillId="5" fontId="13" numFmtId="0" xfId="0" applyAlignment="1" applyBorder="1" applyFont="1">
      <alignment horizontal="left" shrinkToFit="0" vertical="center" wrapText="1"/>
    </xf>
    <xf borderId="10" fillId="6" fontId="9" numFmtId="0" xfId="0" applyAlignment="1" applyBorder="1" applyFont="1">
      <alignment horizontal="left" shrinkToFit="0" vertical="center" wrapText="0"/>
    </xf>
    <xf borderId="7" fillId="6" fontId="14" numFmtId="0" xfId="0" applyAlignment="1" applyBorder="1" applyFont="1">
      <alignment horizontal="left" shrinkToFit="0" vertical="center" wrapText="0"/>
    </xf>
    <xf borderId="10" fillId="9" fontId="7" numFmtId="0" xfId="0" applyAlignment="1" applyBorder="1" applyFill="1" applyFont="1">
      <alignment horizontal="center" shrinkToFit="0" vertical="center" wrapText="0"/>
    </xf>
    <xf borderId="10" fillId="9" fontId="9" numFmtId="0" xfId="0" applyAlignment="1" applyBorder="1" applyFont="1">
      <alignment horizontal="left" shrinkToFit="0" vertical="center" wrapText="0"/>
    </xf>
    <xf borderId="7" fillId="9" fontId="9" numFmtId="0" xfId="0" applyAlignment="1" applyBorder="1" applyFont="1">
      <alignment horizontal="left" shrinkToFit="0" vertical="center" wrapText="1"/>
    </xf>
    <xf borderId="10" fillId="4" fontId="7" numFmtId="0" xfId="0" applyAlignment="1" applyBorder="1" applyFont="1">
      <alignment horizontal="center" shrinkToFit="0" vertical="center" wrapText="0"/>
    </xf>
    <xf borderId="10" fillId="4" fontId="9" numFmtId="0" xfId="0" applyAlignment="1" applyBorder="1" applyFont="1">
      <alignment horizontal="left" shrinkToFit="0" vertical="center" wrapText="0"/>
    </xf>
    <xf borderId="7" fillId="4" fontId="9" numFmtId="0" xfId="0" applyAlignment="1" applyBorder="1" applyFont="1">
      <alignment horizontal="left" shrinkToFit="0" vertical="center" wrapText="1"/>
    </xf>
    <xf borderId="10" fillId="6" fontId="7" numFmtId="0" xfId="0" applyAlignment="1" applyBorder="1" applyFont="1">
      <alignment horizontal="center" shrinkToFit="0" vertical="center" wrapText="0"/>
    </xf>
    <xf borderId="7" fillId="6" fontId="9" numFmtId="0" xfId="0" applyAlignment="1" applyBorder="1" applyFont="1">
      <alignment horizontal="left" shrinkToFit="0" vertical="center" wrapText="1"/>
    </xf>
    <xf borderId="4" fillId="2" fontId="15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left" shrinkToFit="0" vertical="center" wrapText="0"/>
    </xf>
    <xf borderId="10" fillId="4" fontId="16" numFmtId="0" xfId="0" applyAlignment="1" applyBorder="1" applyFont="1">
      <alignment horizontal="center" readingOrder="0" shrinkToFit="0" vertical="center" wrapText="0"/>
    </xf>
    <xf borderId="10" fillId="4" fontId="16" numFmtId="165" xfId="0" applyAlignment="1" applyBorder="1" applyFont="1" applyNumberFormat="1">
      <alignment horizontal="center" shrinkToFit="0" vertical="center" wrapText="0"/>
    </xf>
    <xf borderId="10" fillId="5" fontId="17" numFmtId="0" xfId="0" applyAlignment="1" applyBorder="1" applyFont="1">
      <alignment horizontal="center" shrinkToFit="0" vertical="center" wrapText="0"/>
    </xf>
    <xf borderId="10" fillId="6" fontId="18" numFmtId="4" xfId="0" applyAlignment="1" applyBorder="1" applyFont="1" applyNumberFormat="1">
      <alignment horizontal="center" shrinkToFit="0" vertical="center" wrapText="0"/>
    </xf>
    <xf borderId="10" fillId="4" fontId="16" numFmtId="0" xfId="0" applyAlignment="1" applyBorder="1" applyFont="1">
      <alignment horizontal="center" shrinkToFit="0" vertical="center" wrapText="0"/>
    </xf>
    <xf borderId="10" fillId="6" fontId="19" numFmtId="0" xfId="0" applyAlignment="1" applyBorder="1" applyFont="1">
      <alignment horizontal="left" shrinkToFit="0" vertical="center" wrapText="1"/>
    </xf>
    <xf borderId="10" fillId="4" fontId="16" numFmtId="166" xfId="0" applyAlignment="1" applyBorder="1" applyFont="1" applyNumberFormat="1">
      <alignment horizontal="center" shrinkToFit="0" vertical="center" wrapText="0"/>
    </xf>
    <xf borderId="10" fillId="7" fontId="19" numFmtId="0" xfId="0" applyAlignment="1" applyBorder="1" applyFont="1">
      <alignment horizontal="left" shrinkToFit="0" vertical="center" wrapText="1"/>
    </xf>
    <xf borderId="7" fillId="3" fontId="5" numFmtId="0" xfId="0" applyAlignment="1" applyBorder="1" applyFont="1">
      <alignment horizontal="right" shrinkToFit="0" vertical="center" wrapText="0"/>
    </xf>
    <xf borderId="10" fillId="2" fontId="15" numFmtId="164" xfId="0" applyAlignment="1" applyBorder="1" applyFont="1" applyNumberFormat="1">
      <alignment horizontal="center" shrinkToFit="0" vertical="center" wrapText="0"/>
    </xf>
    <xf borderId="7" fillId="3" fontId="5" numFmtId="0" xfId="0" applyAlignment="1" applyBorder="1" applyFont="1">
      <alignment horizontal="left" shrinkToFit="0" vertical="center" wrapText="0"/>
    </xf>
    <xf borderId="10" fillId="6" fontId="20" numFmtId="0" xfId="0" applyAlignment="1" applyBorder="1" applyFont="1">
      <alignment horizontal="left" shrinkToFit="0" vertical="center" wrapText="1"/>
    </xf>
    <xf borderId="7" fillId="6" fontId="21" numFmtId="0" xfId="0" applyAlignment="1" applyBorder="1" applyFont="1">
      <alignment horizontal="left" shrinkToFit="0" vertical="center" wrapText="1"/>
    </xf>
    <xf borderId="10" fillId="7" fontId="20" numFmtId="0" xfId="0" applyAlignment="1" applyBorder="1" applyFont="1">
      <alignment horizontal="left" shrinkToFit="0" vertical="center" wrapText="1"/>
    </xf>
    <xf borderId="7" fillId="7" fontId="2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16.0"/>
    <col customWidth="1" min="4" max="4" width="11.14"/>
    <col customWidth="1" min="5" max="5" width="25.86"/>
    <col customWidth="1" min="6" max="6" width="14.0"/>
    <col customWidth="1" min="7" max="7" width="23.43"/>
    <col customWidth="1" min="8" max="8" width="9.71"/>
    <col customWidth="1" min="9" max="11" width="8.71"/>
  </cols>
  <sheetData>
    <row r="1" ht="27.75" customHeight="1">
      <c r="B1" s="1" t="s">
        <v>0</v>
      </c>
      <c r="C1" s="2"/>
      <c r="D1" s="2"/>
      <c r="E1" s="2"/>
      <c r="F1" s="2"/>
      <c r="G1" s="2"/>
      <c r="H1" s="3"/>
    </row>
    <row r="2">
      <c r="B2" s="4" t="s">
        <v>1</v>
      </c>
      <c r="C2" s="5"/>
      <c r="D2" s="5"/>
      <c r="E2" s="5"/>
      <c r="F2" s="5"/>
      <c r="G2" s="5"/>
      <c r="H2" s="6"/>
    </row>
    <row r="3" ht="19.5" customHeight="1">
      <c r="B3" s="7" t="s">
        <v>2</v>
      </c>
      <c r="C3" s="5"/>
      <c r="D3" s="5"/>
      <c r="E3" s="5"/>
      <c r="F3" s="5"/>
      <c r="G3" s="5"/>
      <c r="H3" s="6"/>
    </row>
    <row r="5" ht="21.75" customHeight="1">
      <c r="B5" s="8" t="s">
        <v>3</v>
      </c>
      <c r="C5" s="9"/>
      <c r="D5" s="9"/>
      <c r="E5" s="10"/>
      <c r="F5" s="11" t="s">
        <v>4</v>
      </c>
      <c r="G5" s="11" t="s">
        <v>5</v>
      </c>
      <c r="H5" s="11" t="s">
        <v>6</v>
      </c>
    </row>
    <row r="6" ht="27.0" customHeight="1">
      <c r="B6" s="12" t="s">
        <v>4</v>
      </c>
      <c r="C6" s="13" t="s">
        <v>7</v>
      </c>
      <c r="D6" s="14"/>
      <c r="E6" s="15" t="s">
        <v>8</v>
      </c>
      <c r="F6" s="16" t="s">
        <v>7</v>
      </c>
      <c r="G6" s="17" t="s">
        <v>9</v>
      </c>
      <c r="H6" s="18" t="s">
        <v>10</v>
      </c>
    </row>
    <row r="7" ht="27.0" customHeight="1">
      <c r="B7" s="19" t="s">
        <v>11</v>
      </c>
      <c r="C7" s="13" t="s">
        <v>12</v>
      </c>
      <c r="D7" s="20"/>
      <c r="E7" s="21" t="s">
        <v>13</v>
      </c>
      <c r="F7" s="19" t="s">
        <v>14</v>
      </c>
      <c r="G7" s="22" t="s">
        <v>15</v>
      </c>
      <c r="H7" s="20" t="s">
        <v>10</v>
      </c>
    </row>
    <row r="8" ht="27.0" customHeight="1">
      <c r="B8" s="12" t="s">
        <v>16</v>
      </c>
      <c r="C8" s="13">
        <v>100.0</v>
      </c>
      <c r="D8" s="14" t="s">
        <v>17</v>
      </c>
      <c r="E8" s="15" t="s">
        <v>18</v>
      </c>
      <c r="F8" s="16" t="s">
        <v>19</v>
      </c>
      <c r="G8" s="17" t="s">
        <v>20</v>
      </c>
      <c r="H8" s="18" t="s">
        <v>21</v>
      </c>
    </row>
    <row r="9" ht="27.0" customHeight="1">
      <c r="B9" s="19" t="s">
        <v>22</v>
      </c>
      <c r="C9" s="13">
        <v>120.0</v>
      </c>
      <c r="D9" s="20" t="s">
        <v>17</v>
      </c>
      <c r="E9" s="21" t="s">
        <v>23</v>
      </c>
      <c r="F9" s="19" t="s">
        <v>24</v>
      </c>
      <c r="G9" s="22" t="s">
        <v>25</v>
      </c>
      <c r="H9" s="20" t="s">
        <v>26</v>
      </c>
    </row>
    <row r="10" ht="27.0" customHeight="1">
      <c r="B10" s="12" t="s">
        <v>27</v>
      </c>
      <c r="C10" s="23">
        <v>10000.0</v>
      </c>
      <c r="D10" s="14"/>
      <c r="E10" s="15" t="s">
        <v>28</v>
      </c>
    </row>
    <row r="11" ht="18.0" customHeight="1">
      <c r="F11" s="24" t="s">
        <v>29</v>
      </c>
      <c r="G11" s="9"/>
      <c r="H11" s="10"/>
    </row>
    <row r="12" ht="21.75" customHeight="1">
      <c r="B12" s="25" t="s">
        <v>30</v>
      </c>
      <c r="C12" s="9"/>
      <c r="D12" s="9"/>
      <c r="E12" s="10"/>
    </row>
    <row r="13" ht="27.75" customHeight="1">
      <c r="B13" s="26" t="s">
        <v>31</v>
      </c>
      <c r="C13" s="27" t="str">
        <f>IFERROR(IF(C6="Cerdo",(C8^2*C9)/10838,IF(C6="Caprino",(C8^2*C9)/9700,IF(C6="Caballo",(C8^2*C9)/11877,IF(C6="Perro",(C8^2*C9)/C10,"—")))),"Verifique datos")</f>
        <v>110.72 kg</v>
      </c>
      <c r="D13" s="28" t="s">
        <v>32</v>
      </c>
      <c r="E13" s="10"/>
    </row>
    <row r="14" ht="18.0" customHeight="1">
      <c r="B14" s="29" t="s">
        <v>33</v>
      </c>
      <c r="C14" s="30" t="str">
        <f>IF(C6="Cerdo","(PT² × LC) / 10 838",IF(C6="Caprino","(PT² × LC) / 9 700",IF(C6="Caballo","(PT² × LL) / 11 877 — Carroll &amp; Huntington",IF(C6="Perro","(PT² × LL) / k","Seleccione especie"))))</f>
        <v>(PT² × LC) / 10 838</v>
      </c>
      <c r="D14" s="9"/>
      <c r="E14" s="10"/>
    </row>
    <row r="16" ht="21.75" customHeight="1">
      <c r="B16" s="8" t="s">
        <v>34</v>
      </c>
      <c r="C16" s="9"/>
      <c r="D16" s="9"/>
      <c r="E16" s="10"/>
    </row>
    <row r="17" ht="18.0" customHeight="1">
      <c r="B17" s="31">
        <v>1.0</v>
      </c>
      <c r="C17" s="32" t="s">
        <v>35</v>
      </c>
      <c r="D17" s="33" t="s">
        <v>36</v>
      </c>
      <c r="E17" s="10"/>
    </row>
    <row r="18" ht="18.0" customHeight="1">
      <c r="B18" s="34">
        <v>2.0</v>
      </c>
      <c r="C18" s="35" t="s">
        <v>37</v>
      </c>
      <c r="D18" s="36" t="s">
        <v>38</v>
      </c>
      <c r="E18" s="10"/>
    </row>
    <row r="19" ht="18.0" customHeight="1">
      <c r="B19" s="37">
        <v>3.0</v>
      </c>
      <c r="C19" s="29" t="s">
        <v>39</v>
      </c>
      <c r="D19" s="38" t="s">
        <v>40</v>
      </c>
      <c r="E19" s="10"/>
    </row>
    <row r="20" ht="18.0" customHeight="1">
      <c r="B20" s="34">
        <v>4.0</v>
      </c>
      <c r="C20" s="35" t="s">
        <v>41</v>
      </c>
      <c r="D20" s="36" t="s">
        <v>42</v>
      </c>
      <c r="E20" s="10"/>
    </row>
    <row r="21" ht="18.0" customHeight="1">
      <c r="B21" s="31">
        <v>5.0</v>
      </c>
      <c r="C21" s="32" t="s">
        <v>43</v>
      </c>
      <c r="D21" s="33" t="s">
        <v>44</v>
      </c>
      <c r="E21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C14:E14"/>
    <mergeCell ref="B16:E16"/>
    <mergeCell ref="D17:E17"/>
    <mergeCell ref="D18:E18"/>
    <mergeCell ref="D19:E19"/>
    <mergeCell ref="D20:E20"/>
    <mergeCell ref="D21:E21"/>
    <mergeCell ref="B1:H1"/>
    <mergeCell ref="B2:H2"/>
    <mergeCell ref="B3:H3"/>
    <mergeCell ref="B5:E5"/>
    <mergeCell ref="F11:H11"/>
    <mergeCell ref="B12:E12"/>
    <mergeCell ref="D13:E13"/>
  </mergeCells>
  <dataValidations>
    <dataValidation type="list" allowBlank="1" sqref="C6">
      <formula1>"Cerdo,Caprino,Caballo,Perro"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18.0"/>
    <col customWidth="1" min="4" max="4" width="14.0"/>
    <col customWidth="1" min="5" max="5" width="12.0"/>
    <col customWidth="1" min="6" max="8" width="11.0"/>
    <col customWidth="1" min="9" max="9" width="14.0"/>
    <col customWidth="1" min="10" max="10" width="14.43"/>
    <col customWidth="1" min="11" max="11" width="14.0"/>
  </cols>
  <sheetData>
    <row r="1" ht="25.5" customHeight="1">
      <c r="B1" s="39" t="s">
        <v>45</v>
      </c>
      <c r="C1" s="5"/>
      <c r="D1" s="5"/>
      <c r="E1" s="5"/>
      <c r="F1" s="5"/>
      <c r="G1" s="5"/>
      <c r="H1" s="5"/>
      <c r="I1" s="5"/>
      <c r="J1" s="5"/>
      <c r="K1" s="6"/>
    </row>
    <row r="2" ht="15.75" customHeight="1">
      <c r="B2" s="40" t="s">
        <v>46</v>
      </c>
      <c r="C2" s="5"/>
      <c r="D2" s="5"/>
      <c r="E2" s="5"/>
      <c r="F2" s="5"/>
      <c r="G2" s="5"/>
      <c r="H2" s="5"/>
      <c r="I2" s="5"/>
      <c r="J2" s="5"/>
      <c r="K2" s="6"/>
    </row>
    <row r="3" ht="30.0" customHeight="1">
      <c r="B3" s="11" t="s">
        <v>47</v>
      </c>
      <c r="C3" s="11" t="s">
        <v>48</v>
      </c>
      <c r="D3" s="11" t="s">
        <v>4</v>
      </c>
      <c r="E3" s="11" t="s">
        <v>49</v>
      </c>
      <c r="F3" s="11" t="s">
        <v>50</v>
      </c>
      <c r="G3" s="11" t="s">
        <v>51</v>
      </c>
      <c r="H3" s="11" t="s">
        <v>52</v>
      </c>
      <c r="I3" s="11" t="s">
        <v>53</v>
      </c>
      <c r="J3" s="11" t="s">
        <v>54</v>
      </c>
    </row>
    <row r="4" ht="19.5" customHeight="1">
      <c r="B4" s="41" t="s">
        <v>55</v>
      </c>
      <c r="C4" s="41" t="s">
        <v>12</v>
      </c>
      <c r="D4" s="41" t="s">
        <v>7</v>
      </c>
      <c r="E4" s="42"/>
      <c r="F4" s="42"/>
      <c r="G4" s="43">
        <v>11000.0</v>
      </c>
      <c r="H4" s="44" t="str">
        <f t="shared" ref="H4:H33" si="1">IFERROR(IF(D4="Cerdo",(E4^2*F4)/10838,IF(D4="Caprino",(E4^2*F4)/9700,IF(D4="Caballo",(E4^2*F4)/11877,IF(D4="Perro",(E4^2*F4)/G4,"—")))),"—")</f>
        <v>0.00</v>
      </c>
      <c r="I4" s="45"/>
      <c r="J4" s="46"/>
    </row>
    <row r="5" ht="19.5" customHeight="1">
      <c r="B5" s="47"/>
      <c r="C5" s="45"/>
      <c r="D5" s="45"/>
      <c r="E5" s="42"/>
      <c r="F5" s="42"/>
      <c r="G5" s="43">
        <v>11000.0</v>
      </c>
      <c r="H5" s="44" t="str">
        <f t="shared" si="1"/>
        <v>—</v>
      </c>
      <c r="I5" s="45"/>
      <c r="J5" s="48"/>
    </row>
    <row r="6" ht="19.5" customHeight="1">
      <c r="B6" s="47"/>
      <c r="C6" s="45"/>
      <c r="D6" s="45"/>
      <c r="E6" s="42"/>
      <c r="F6" s="42"/>
      <c r="G6" s="43">
        <v>11000.0</v>
      </c>
      <c r="H6" s="44" t="str">
        <f t="shared" si="1"/>
        <v>—</v>
      </c>
      <c r="I6" s="45"/>
      <c r="J6" s="46"/>
    </row>
    <row r="7" ht="19.5" customHeight="1">
      <c r="B7" s="47"/>
      <c r="C7" s="45"/>
      <c r="D7" s="45"/>
      <c r="E7" s="42"/>
      <c r="F7" s="42"/>
      <c r="G7" s="43">
        <v>11000.0</v>
      </c>
      <c r="H7" s="44" t="str">
        <f t="shared" si="1"/>
        <v>—</v>
      </c>
      <c r="I7" s="45"/>
      <c r="J7" s="48"/>
    </row>
    <row r="8" ht="19.5" customHeight="1">
      <c r="B8" s="47"/>
      <c r="C8" s="45"/>
      <c r="D8" s="45"/>
      <c r="E8" s="42"/>
      <c r="F8" s="42"/>
      <c r="G8" s="43">
        <v>11000.0</v>
      </c>
      <c r="H8" s="44" t="str">
        <f t="shared" si="1"/>
        <v>—</v>
      </c>
      <c r="I8" s="45"/>
      <c r="J8" s="46"/>
    </row>
    <row r="9" ht="19.5" customHeight="1">
      <c r="B9" s="47"/>
      <c r="C9" s="45"/>
      <c r="D9" s="45"/>
      <c r="E9" s="42"/>
      <c r="F9" s="42"/>
      <c r="G9" s="43">
        <v>11000.0</v>
      </c>
      <c r="H9" s="44" t="str">
        <f t="shared" si="1"/>
        <v>—</v>
      </c>
      <c r="I9" s="45"/>
      <c r="J9" s="48"/>
    </row>
    <row r="10" ht="19.5" customHeight="1">
      <c r="B10" s="47"/>
      <c r="C10" s="45"/>
      <c r="D10" s="45"/>
      <c r="E10" s="42"/>
      <c r="F10" s="42"/>
      <c r="G10" s="43">
        <v>11000.0</v>
      </c>
      <c r="H10" s="44" t="str">
        <f t="shared" si="1"/>
        <v>—</v>
      </c>
      <c r="I10" s="45"/>
      <c r="J10" s="46"/>
    </row>
    <row r="11" ht="19.5" customHeight="1">
      <c r="B11" s="47"/>
      <c r="C11" s="45"/>
      <c r="D11" s="45"/>
      <c r="E11" s="42"/>
      <c r="F11" s="42"/>
      <c r="G11" s="43">
        <v>11000.0</v>
      </c>
      <c r="H11" s="44" t="str">
        <f t="shared" si="1"/>
        <v>—</v>
      </c>
      <c r="I11" s="45"/>
      <c r="J11" s="48"/>
    </row>
    <row r="12" ht="19.5" customHeight="1">
      <c r="B12" s="47"/>
      <c r="C12" s="45"/>
      <c r="D12" s="45"/>
      <c r="E12" s="42"/>
      <c r="F12" s="42"/>
      <c r="G12" s="43">
        <v>11000.0</v>
      </c>
      <c r="H12" s="44" t="str">
        <f t="shared" si="1"/>
        <v>—</v>
      </c>
      <c r="I12" s="45"/>
      <c r="J12" s="46"/>
    </row>
    <row r="13" ht="19.5" customHeight="1">
      <c r="B13" s="47"/>
      <c r="C13" s="45"/>
      <c r="D13" s="45"/>
      <c r="E13" s="42"/>
      <c r="F13" s="42"/>
      <c r="G13" s="43">
        <v>11000.0</v>
      </c>
      <c r="H13" s="44" t="str">
        <f t="shared" si="1"/>
        <v>—</v>
      </c>
      <c r="I13" s="45"/>
      <c r="J13" s="48"/>
    </row>
    <row r="14" ht="19.5" customHeight="1">
      <c r="B14" s="47"/>
      <c r="C14" s="45"/>
      <c r="D14" s="45"/>
      <c r="E14" s="42"/>
      <c r="F14" s="42"/>
      <c r="G14" s="43">
        <v>11000.0</v>
      </c>
      <c r="H14" s="44" t="str">
        <f t="shared" si="1"/>
        <v>—</v>
      </c>
      <c r="I14" s="45"/>
      <c r="J14" s="46"/>
    </row>
    <row r="15" ht="19.5" customHeight="1">
      <c r="B15" s="47"/>
      <c r="C15" s="45"/>
      <c r="D15" s="45"/>
      <c r="E15" s="42"/>
      <c r="F15" s="42"/>
      <c r="G15" s="43">
        <v>11000.0</v>
      </c>
      <c r="H15" s="44" t="str">
        <f t="shared" si="1"/>
        <v>—</v>
      </c>
      <c r="I15" s="45"/>
      <c r="J15" s="48"/>
    </row>
    <row r="16" ht="19.5" customHeight="1">
      <c r="B16" s="47"/>
      <c r="C16" s="45"/>
      <c r="D16" s="45"/>
      <c r="E16" s="42"/>
      <c r="F16" s="42"/>
      <c r="G16" s="43">
        <v>11000.0</v>
      </c>
      <c r="H16" s="44" t="str">
        <f t="shared" si="1"/>
        <v>—</v>
      </c>
      <c r="I16" s="45"/>
      <c r="J16" s="46"/>
    </row>
    <row r="17" ht="19.5" customHeight="1">
      <c r="B17" s="47"/>
      <c r="C17" s="45"/>
      <c r="D17" s="45"/>
      <c r="E17" s="42"/>
      <c r="F17" s="42"/>
      <c r="G17" s="43">
        <v>11000.0</v>
      </c>
      <c r="H17" s="44" t="str">
        <f t="shared" si="1"/>
        <v>—</v>
      </c>
      <c r="I17" s="45"/>
      <c r="J17" s="48"/>
    </row>
    <row r="18" ht="19.5" customHeight="1">
      <c r="B18" s="47"/>
      <c r="C18" s="45"/>
      <c r="D18" s="45"/>
      <c r="E18" s="42"/>
      <c r="F18" s="42"/>
      <c r="G18" s="43">
        <v>11000.0</v>
      </c>
      <c r="H18" s="44" t="str">
        <f t="shared" si="1"/>
        <v>—</v>
      </c>
      <c r="I18" s="45"/>
      <c r="J18" s="46"/>
    </row>
    <row r="19" ht="19.5" customHeight="1">
      <c r="B19" s="47"/>
      <c r="C19" s="45"/>
      <c r="D19" s="45"/>
      <c r="E19" s="42"/>
      <c r="F19" s="42"/>
      <c r="G19" s="43">
        <v>11000.0</v>
      </c>
      <c r="H19" s="44" t="str">
        <f t="shared" si="1"/>
        <v>—</v>
      </c>
      <c r="I19" s="45"/>
      <c r="J19" s="48"/>
    </row>
    <row r="20" ht="19.5" customHeight="1">
      <c r="B20" s="47"/>
      <c r="C20" s="45"/>
      <c r="D20" s="45"/>
      <c r="E20" s="42"/>
      <c r="F20" s="42"/>
      <c r="G20" s="43">
        <v>11000.0</v>
      </c>
      <c r="H20" s="44" t="str">
        <f t="shared" si="1"/>
        <v>—</v>
      </c>
      <c r="I20" s="45"/>
      <c r="J20" s="46"/>
    </row>
    <row r="21" ht="19.5" customHeight="1">
      <c r="B21" s="47"/>
      <c r="C21" s="45"/>
      <c r="D21" s="45"/>
      <c r="E21" s="42"/>
      <c r="F21" s="42"/>
      <c r="G21" s="43">
        <v>11000.0</v>
      </c>
      <c r="H21" s="44" t="str">
        <f t="shared" si="1"/>
        <v>—</v>
      </c>
      <c r="I21" s="45"/>
      <c r="J21" s="48"/>
    </row>
    <row r="22" ht="19.5" customHeight="1">
      <c r="B22" s="47"/>
      <c r="C22" s="45"/>
      <c r="D22" s="45"/>
      <c r="E22" s="42"/>
      <c r="F22" s="42"/>
      <c r="G22" s="43">
        <v>11000.0</v>
      </c>
      <c r="H22" s="44" t="str">
        <f t="shared" si="1"/>
        <v>—</v>
      </c>
      <c r="I22" s="45"/>
      <c r="J22" s="46"/>
    </row>
    <row r="23" ht="19.5" customHeight="1">
      <c r="B23" s="47"/>
      <c r="C23" s="45"/>
      <c r="D23" s="45"/>
      <c r="E23" s="42"/>
      <c r="F23" s="42"/>
      <c r="G23" s="43">
        <v>11000.0</v>
      </c>
      <c r="H23" s="44" t="str">
        <f t="shared" si="1"/>
        <v>—</v>
      </c>
      <c r="I23" s="45"/>
      <c r="J23" s="48"/>
    </row>
    <row r="24" ht="19.5" customHeight="1">
      <c r="B24" s="47"/>
      <c r="C24" s="45"/>
      <c r="D24" s="45"/>
      <c r="E24" s="42"/>
      <c r="F24" s="42"/>
      <c r="G24" s="43">
        <v>11000.0</v>
      </c>
      <c r="H24" s="44" t="str">
        <f t="shared" si="1"/>
        <v>—</v>
      </c>
      <c r="I24" s="45"/>
      <c r="J24" s="46"/>
    </row>
    <row r="25" ht="19.5" customHeight="1">
      <c r="B25" s="47"/>
      <c r="C25" s="45"/>
      <c r="D25" s="45"/>
      <c r="E25" s="42"/>
      <c r="F25" s="42"/>
      <c r="G25" s="43">
        <v>11000.0</v>
      </c>
      <c r="H25" s="44" t="str">
        <f t="shared" si="1"/>
        <v>—</v>
      </c>
      <c r="I25" s="45"/>
      <c r="J25" s="48"/>
    </row>
    <row r="26" ht="19.5" customHeight="1">
      <c r="B26" s="47"/>
      <c r="C26" s="45"/>
      <c r="D26" s="45"/>
      <c r="E26" s="42"/>
      <c r="F26" s="42"/>
      <c r="G26" s="43">
        <v>11000.0</v>
      </c>
      <c r="H26" s="44" t="str">
        <f t="shared" si="1"/>
        <v>—</v>
      </c>
      <c r="I26" s="45"/>
      <c r="J26" s="46"/>
    </row>
    <row r="27" ht="19.5" customHeight="1">
      <c r="B27" s="47"/>
      <c r="C27" s="45"/>
      <c r="D27" s="45"/>
      <c r="E27" s="42"/>
      <c r="F27" s="42"/>
      <c r="G27" s="43">
        <v>11000.0</v>
      </c>
      <c r="H27" s="44" t="str">
        <f t="shared" si="1"/>
        <v>—</v>
      </c>
      <c r="I27" s="45"/>
      <c r="J27" s="48"/>
    </row>
    <row r="28" ht="19.5" customHeight="1">
      <c r="B28" s="47"/>
      <c r="C28" s="45"/>
      <c r="D28" s="45"/>
      <c r="E28" s="42"/>
      <c r="F28" s="42"/>
      <c r="G28" s="43">
        <v>11000.0</v>
      </c>
      <c r="H28" s="44" t="str">
        <f t="shared" si="1"/>
        <v>—</v>
      </c>
      <c r="I28" s="45"/>
      <c r="J28" s="46"/>
    </row>
    <row r="29" ht="19.5" customHeight="1">
      <c r="B29" s="47"/>
      <c r="C29" s="45"/>
      <c r="D29" s="45"/>
      <c r="E29" s="42"/>
      <c r="F29" s="42"/>
      <c r="G29" s="43">
        <v>11000.0</v>
      </c>
      <c r="H29" s="44" t="str">
        <f t="shared" si="1"/>
        <v>—</v>
      </c>
      <c r="I29" s="45"/>
      <c r="J29" s="48"/>
    </row>
    <row r="30" ht="19.5" customHeight="1">
      <c r="B30" s="47"/>
      <c r="C30" s="45"/>
      <c r="D30" s="45"/>
      <c r="E30" s="42"/>
      <c r="F30" s="42"/>
      <c r="G30" s="43">
        <v>11000.0</v>
      </c>
      <c r="H30" s="44" t="str">
        <f t="shared" si="1"/>
        <v>—</v>
      </c>
      <c r="I30" s="45"/>
      <c r="J30" s="46"/>
    </row>
    <row r="31" ht="19.5" customHeight="1">
      <c r="B31" s="47"/>
      <c r="C31" s="45"/>
      <c r="D31" s="45"/>
      <c r="E31" s="42"/>
      <c r="F31" s="42"/>
      <c r="G31" s="43">
        <v>11000.0</v>
      </c>
      <c r="H31" s="44" t="str">
        <f t="shared" si="1"/>
        <v>—</v>
      </c>
      <c r="I31" s="45"/>
      <c r="J31" s="48"/>
    </row>
    <row r="32" ht="19.5" customHeight="1">
      <c r="B32" s="47"/>
      <c r="C32" s="45"/>
      <c r="D32" s="45"/>
      <c r="E32" s="42"/>
      <c r="F32" s="42"/>
      <c r="G32" s="43">
        <v>11000.0</v>
      </c>
      <c r="H32" s="44" t="str">
        <f t="shared" si="1"/>
        <v>—</v>
      </c>
      <c r="I32" s="45"/>
      <c r="J32" s="46"/>
    </row>
    <row r="33" ht="19.5" customHeight="1">
      <c r="B33" s="47"/>
      <c r="C33" s="45"/>
      <c r="D33" s="45"/>
      <c r="E33" s="42"/>
      <c r="F33" s="42"/>
      <c r="G33" s="43">
        <v>11000.0</v>
      </c>
      <c r="H33" s="44" t="str">
        <f t="shared" si="1"/>
        <v>—</v>
      </c>
      <c r="I33" s="45"/>
      <c r="J33" s="48"/>
    </row>
    <row r="34" ht="15.75" customHeight="1">
      <c r="B34" s="49" t="s">
        <v>56</v>
      </c>
      <c r="C34" s="9"/>
      <c r="D34" s="9"/>
      <c r="E34" s="9"/>
      <c r="F34" s="9"/>
      <c r="G34" s="10"/>
      <c r="H34" s="50" t="str">
        <f>IFERROR(AVERAGEIF(H4:H33,"&gt;0"),"—")</f>
        <v>—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K1"/>
    <mergeCell ref="B2:K2"/>
    <mergeCell ref="B34:G34"/>
  </mergeCells>
  <dataValidations>
    <dataValidation type="list" allowBlank="1" sqref="I4:I33">
      <formula1>"1,2,3,4,5"</formula1>
    </dataValidation>
    <dataValidation type="list" allowBlank="1" sqref="D4:D33">
      <formula1>"Cerdo,Caprino,Caballo,Perro"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30.0"/>
    <col customWidth="1" min="4" max="5" width="20.0"/>
    <col customWidth="1" min="6" max="6" width="3.0"/>
    <col customWidth="1" min="7" max="11" width="8.71"/>
  </cols>
  <sheetData>
    <row r="1" ht="25.5" customHeight="1">
      <c r="B1" s="39" t="s">
        <v>57</v>
      </c>
      <c r="C1" s="5"/>
      <c r="D1" s="5"/>
      <c r="E1" s="6"/>
    </row>
    <row r="2" ht="9.75" customHeight="1"/>
    <row r="3" ht="9.75" customHeight="1">
      <c r="B3" s="51" t="s">
        <v>58</v>
      </c>
      <c r="C3" s="9"/>
      <c r="D3" s="9"/>
      <c r="E3" s="10"/>
    </row>
    <row r="4" ht="21.75" customHeight="1">
      <c r="B4" s="52" t="s">
        <v>59</v>
      </c>
      <c r="C4" s="53" t="s">
        <v>60</v>
      </c>
      <c r="D4" s="9"/>
      <c r="E4" s="10"/>
    </row>
    <row r="5" ht="21.75" customHeight="1">
      <c r="B5" s="54" t="s">
        <v>61</v>
      </c>
      <c r="C5" s="55" t="s">
        <v>62</v>
      </c>
      <c r="D5" s="9"/>
      <c r="E5" s="10"/>
    </row>
    <row r="6" ht="21.75" customHeight="1">
      <c r="B6" s="52" t="s">
        <v>63</v>
      </c>
      <c r="C6" s="53" t="s">
        <v>64</v>
      </c>
      <c r="D6" s="9"/>
      <c r="E6" s="10"/>
    </row>
    <row r="7" ht="9.75" customHeight="1"/>
    <row r="8" ht="9.75" customHeight="1">
      <c r="B8" s="51" t="s">
        <v>65</v>
      </c>
      <c r="C8" s="9"/>
      <c r="D8" s="9"/>
      <c r="E8" s="10"/>
    </row>
    <row r="9" ht="21.75" customHeight="1">
      <c r="B9" s="54" t="s">
        <v>66</v>
      </c>
      <c r="C9" s="55" t="s">
        <v>67</v>
      </c>
      <c r="D9" s="9"/>
      <c r="E9" s="10"/>
    </row>
    <row r="10" ht="21.75" customHeight="1">
      <c r="B10" s="52" t="s">
        <v>68</v>
      </c>
      <c r="C10" s="53" t="s">
        <v>69</v>
      </c>
      <c r="D10" s="9"/>
      <c r="E10" s="10"/>
    </row>
    <row r="11" ht="21.75" customHeight="1">
      <c r="B11" s="54" t="s">
        <v>70</v>
      </c>
      <c r="C11" s="55" t="s">
        <v>71</v>
      </c>
      <c r="D11" s="9"/>
      <c r="E11" s="10"/>
    </row>
    <row r="12" ht="21.75" customHeight="1">
      <c r="B12" s="52" t="s">
        <v>72</v>
      </c>
      <c r="C12" s="53" t="s">
        <v>73</v>
      </c>
      <c r="D12" s="9"/>
      <c r="E12" s="10"/>
    </row>
    <row r="13" ht="21.75" customHeight="1">
      <c r="B13" s="54" t="s">
        <v>74</v>
      </c>
      <c r="C13" s="55" t="s">
        <v>75</v>
      </c>
      <c r="D13" s="9"/>
      <c r="E13" s="10"/>
    </row>
    <row r="14" ht="21.75" customHeight="1">
      <c r="B14" s="52" t="s">
        <v>76</v>
      </c>
      <c r="C14" s="53" t="s">
        <v>77</v>
      </c>
      <c r="D14" s="9"/>
      <c r="E14" s="10"/>
    </row>
    <row r="15" ht="9.75" customHeight="1"/>
    <row r="16" ht="9.75" customHeight="1">
      <c r="B16" s="51" t="s">
        <v>78</v>
      </c>
      <c r="C16" s="9"/>
      <c r="D16" s="9"/>
      <c r="E16" s="10"/>
    </row>
    <row r="17" ht="21.75" customHeight="1">
      <c r="B17" s="54" t="s">
        <v>79</v>
      </c>
      <c r="C17" s="55" t="s">
        <v>80</v>
      </c>
      <c r="D17" s="9"/>
      <c r="E17" s="10"/>
    </row>
    <row r="18" ht="21.75" customHeight="1">
      <c r="B18" s="52" t="s">
        <v>81</v>
      </c>
      <c r="C18" s="53" t="s">
        <v>82</v>
      </c>
      <c r="D18" s="9"/>
      <c r="E18" s="10"/>
    </row>
    <row r="19" ht="21.75" customHeight="1">
      <c r="B19" s="54" t="s">
        <v>83</v>
      </c>
      <c r="C19" s="55" t="s">
        <v>84</v>
      </c>
      <c r="D19" s="9"/>
      <c r="E19" s="10"/>
    </row>
    <row r="20" ht="21.75" customHeight="1">
      <c r="B20" s="52" t="s">
        <v>85</v>
      </c>
      <c r="C20" s="53" t="s">
        <v>86</v>
      </c>
      <c r="D20" s="9"/>
      <c r="E20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7">
    <mergeCell ref="B1:E1"/>
    <mergeCell ref="B3:E3"/>
    <mergeCell ref="C4:E4"/>
    <mergeCell ref="C5:E5"/>
    <mergeCell ref="C6:E6"/>
    <mergeCell ref="B8:E8"/>
    <mergeCell ref="C9:E9"/>
    <mergeCell ref="C18:E18"/>
    <mergeCell ref="C19:E19"/>
    <mergeCell ref="C20:E20"/>
    <mergeCell ref="C10:E10"/>
    <mergeCell ref="C11:E11"/>
    <mergeCell ref="C12:E12"/>
    <mergeCell ref="C13:E13"/>
    <mergeCell ref="C14:E14"/>
    <mergeCell ref="B16:E16"/>
    <mergeCell ref="C17:E17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2026-04-23T23:17:22Z</dcterms:created>
  <dc:creator>openpyxl</dc:creator>
  <dc:description/>
  <dc:language>en-US</dc:language>
  <cp:lastModifiedBy/>
  <dcterms:modified xsi:type="dcterms:W3CDTF">2026-04-23T23:17:22Z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